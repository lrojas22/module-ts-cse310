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0d56a205eb1edb/Escritorio/"/>
    </mc:Choice>
  </mc:AlternateContent>
  <xr:revisionPtr revIDLastSave="0" documentId="8_{64A06AC4-1EA7-4D40-85BB-223E7C6B773A}" xr6:coauthVersionLast="47" xr6:coauthVersionMax="47" xr10:uidLastSave="{00000000-0000-0000-0000-000000000000}"/>
  <bookViews>
    <workbookView xWindow="-120" yWindow="-120" windowWidth="20730" windowHeight="11040" activeTab="2" xr2:uid="{8AED2369-6356-4629-95F2-B601E698BC66}"/>
  </bookViews>
  <sheets>
    <sheet name="band-porc" sheetId="1" r:id="rId1"/>
    <sheet name="drywall 1" sheetId="2" r:id="rId2"/>
    <sheet name="drywall 2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3" l="1"/>
  <c r="C9" i="1"/>
  <c r="C8" i="1"/>
  <c r="C7" i="1"/>
  <c r="C6" i="1"/>
  <c r="C5" i="1"/>
  <c r="C4" i="1"/>
  <c r="B3" i="1"/>
  <c r="C2" i="1"/>
</calcChain>
</file>

<file path=xl/sharedStrings.xml><?xml version="1.0" encoding="utf-8"?>
<sst xmlns="http://schemas.openxmlformats.org/spreadsheetml/2006/main" count="175" uniqueCount="97">
  <si>
    <t>banderolas</t>
  </si>
  <si>
    <t>perfiles</t>
  </si>
  <si>
    <t>F001-00002359</t>
  </si>
  <si>
    <t>carrera a SENCICO</t>
  </si>
  <si>
    <t>2 rodeles</t>
  </si>
  <si>
    <t>F001-00032627</t>
  </si>
  <si>
    <t xml:space="preserve">porcelanato, mayolica, </t>
  </si>
  <si>
    <t>F001-00002358</t>
  </si>
  <si>
    <t>clavo de acero</t>
  </si>
  <si>
    <t>FC09-00010766</t>
  </si>
  <si>
    <t>yeso,lija,pegamento,</t>
  </si>
  <si>
    <t>FC08-00001061</t>
  </si>
  <si>
    <t>cuñas y lapiz carp</t>
  </si>
  <si>
    <t>FE01-133</t>
  </si>
  <si>
    <t>esponjas y escoba</t>
  </si>
  <si>
    <t>DISCO DIAMANTADO 4 1/2</t>
  </si>
  <si>
    <t>F001-11836</t>
  </si>
  <si>
    <t>SUANI</t>
  </si>
  <si>
    <t>DISCO DE CORTE 3M 4 1/2</t>
  </si>
  <si>
    <t>DISCO DE CORTE DEWALT 14"</t>
  </si>
  <si>
    <t>DISCO DE CORTE 7 X 1/4 UYUSTOL CONCRETO</t>
  </si>
  <si>
    <t>BROCA PARA CONCRETO 3/8</t>
  </si>
  <si>
    <t>GUANTES LATEX</t>
  </si>
  <si>
    <t>LENTES</t>
  </si>
  <si>
    <t>REPUESTO DE CUTER TRUPER</t>
  </si>
  <si>
    <t>OCRE ROJO PREMIUM</t>
  </si>
  <si>
    <t>F002-14450</t>
  </si>
  <si>
    <t>KONG</t>
  </si>
  <si>
    <t>TORNILLO SPA 4.5 X 80</t>
  </si>
  <si>
    <t>F002-14448</t>
  </si>
  <si>
    <t>LAPIZ CARPINTERO</t>
  </si>
  <si>
    <t>CINTA PINTOR</t>
  </si>
  <si>
    <t>SELLADOR CPP</t>
  </si>
  <si>
    <t>PLUMON INDELEBLE ARTESCO</t>
  </si>
  <si>
    <t>HILO NILON PESC</t>
  </si>
  <si>
    <t>CUTER 7"</t>
  </si>
  <si>
    <t>CUMBRERA OPACA ROJA</t>
  </si>
  <si>
    <t>FE01-003927</t>
  </si>
  <si>
    <t>REMUSA</t>
  </si>
  <si>
    <t>TRUPAN MDF</t>
  </si>
  <si>
    <t>F001-66143</t>
  </si>
  <si>
    <t>MOVIZA</t>
  </si>
  <si>
    <t>Alambre - Galvanizado - N° 16</t>
  </si>
  <si>
    <t>FF02-00000704</t>
  </si>
  <si>
    <t>DRYWALL CIX</t>
  </si>
  <si>
    <t>PARANTE 64X38X0.9mm X3mt CONSTRUCTEK</t>
  </si>
  <si>
    <t>Parante - Galvanizado - 64 x 38 x 0.45mm x 3m -</t>
  </si>
  <si>
    <t>OMEGA 30X24X15X0.45 X3M</t>
  </si>
  <si>
    <t xml:space="preserve">Riel - Galvanizado - 65 x 25 x 0.9mm x 3m - </t>
  </si>
  <si>
    <t>Riel - Galvanizado - 65 x 25 x 0.45mm x 3m -</t>
  </si>
  <si>
    <t>Suspension-TeePrincipal-32x24x3.66m-DECOSKY</t>
  </si>
  <si>
    <t>Suspension-AnguloPerimetral-15/16x3.05m-DECOSKY</t>
  </si>
  <si>
    <t>Suspension-TeeTerciaria-26x24x0.61m-DECOSKY</t>
  </si>
  <si>
    <t>Suspension-TeeSecundaria-26x24x1.22m-DECOSKY</t>
  </si>
  <si>
    <t>Lana - Fibra Vidrio Rollo Libre - 50mm x 1.2m x 12m -</t>
  </si>
  <si>
    <t>Cinta - Papel Rollo - 5cm x 75m - CONSTRUTEK</t>
  </si>
  <si>
    <t>Clavo - Disparo Acero - (1-1/4)" - STRUTEK</t>
  </si>
  <si>
    <t>Clavo - Disparo Acero - 1 STRUTEK</t>
  </si>
  <si>
    <t>Tornillo - Autovellanante P/Broca - #6x1 - MAMUT</t>
  </si>
  <si>
    <t>Tornillo - Wafer P/Fina - #8x(1/2) - STRUTEK</t>
  </si>
  <si>
    <t>Tornillo - Negro P/Fina - #6x1 - STRUTEK</t>
  </si>
  <si>
    <t>Tornillo - Wafer P/Broca - #8x(1/2) - MAMUT</t>
  </si>
  <si>
    <t>Fulminante - Marron - Cal 22 STRUTEK</t>
  </si>
  <si>
    <t>Angulo - Esquinero Curvo PVC - 3.05m - GENERICO</t>
  </si>
  <si>
    <t>Plancha - ST (3/8) 1.22x2.44m x 9.5mm - GYPLAC</t>
  </si>
  <si>
    <t>Plancha - ST (1/2) - 1.22x2.44m x 12.7mm - GYPLAC</t>
  </si>
  <si>
    <t>Plancha - Fibrocemento Superboard ST - 1.22x2.44 x 6mm -</t>
  </si>
  <si>
    <t>Masilla - Pasta Caja - 20kg - GYPLAC</t>
  </si>
  <si>
    <t>Sikaflex - 11 FC Plus Gris - 300ml - SIKA</t>
  </si>
  <si>
    <t>UNION MACHO 1/4 NPT UYUSTOOLS</t>
  </si>
  <si>
    <t>F002-14459</t>
  </si>
  <si>
    <t>CAPUCHONES ROJO</t>
  </si>
  <si>
    <t>BOLETA</t>
  </si>
  <si>
    <t>MISELI</t>
  </si>
  <si>
    <t>TRUPAN MDF 3MM 2.44 X 2.135 TABLEROS HISPANOS</t>
  </si>
  <si>
    <t>BALDOSA VINIL CON YESO</t>
  </si>
  <si>
    <t>FF02-0000715</t>
  </si>
  <si>
    <t>MASILLA TEROMASHI</t>
  </si>
  <si>
    <t>F001-00003932</t>
  </si>
  <si>
    <t>ALVA</t>
  </si>
  <si>
    <t>MOBILIDAD Y AYUDANTE</t>
  </si>
  <si>
    <t>MEDICOS</t>
  </si>
  <si>
    <t>LIZETH ROMERO LEIVA</t>
  </si>
  <si>
    <t>BLANCA CORDIVA SANTAMARIA</t>
  </si>
  <si>
    <t>CRISTIAN ALVAREZ MEZA</t>
  </si>
  <si>
    <t>CRISTAL CHUICA VARGAS</t>
  </si>
  <si>
    <t>BENITES NAYELLY</t>
  </si>
  <si>
    <t>BIANCA ZAMORA DIAZ</t>
  </si>
  <si>
    <t>ROBERTO MARROQUIN CHANDUVI</t>
  </si>
  <si>
    <t>ODONTOLOGOS</t>
  </si>
  <si>
    <t>OMAR LOAYZA MOSTACERO</t>
  </si>
  <si>
    <t>EDUARDO FERNANDEZ ALVA</t>
  </si>
  <si>
    <t>INGRID ESPINOZA VASQUEZ</t>
  </si>
  <si>
    <t>FLOR AVALOS GUTIERREZ</t>
  </si>
  <si>
    <t>ANGELA MEZA MALAVER</t>
  </si>
  <si>
    <t>CLAUDIA REQUENA PAREDES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</si>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</sst>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 applyFill="1"/>
    <xf numFmtId="164" fontId="0" fillId="0" borderId="0" xfId="0" applyNumberFormat="1"/>
    <xf numFmtId="44" fontId="0" fillId="0" borderId="0" xfId="1" applyFont="1"/>
    <xf numFmtId="14" fontId="0" fillId="0" borderId="0" xfId="0" applyNumberFormat="1"/>
    <xf numFmtId="0" fontId="0" fillId="0" borderId="1" xfId="0" applyBorder="1"/>
    <xf numFmtId="44" fontId="0" fillId="0" borderId="1" xfId="1" applyFont="1" applyBorder="1"/>
    <xf numFmtId="0" fontId="2" fillId="0" borderId="1" xfId="0" applyFont="1" applyBorder="1"/>
    <xf numFmtId="44" fontId="2" fillId="0" borderId="1" xfId="1" applyFont="1" applyBorder="1"/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44" fontId="0" fillId="2" borderId="1" xfId="1" applyFont="1" applyFill="1" applyBorder="1"/>
    <xf numFmtId="0" fontId="0" fillId="2" borderId="0" xfId="0" applyFill="1"/>
    <xf numFmtId="0" fontId="0" fillId="3" borderId="1" xfId="0" applyFill="1" applyBorder="1"/>
    <xf numFmtId="44" fontId="0" fillId="3" borderId="1" xfId="1" applyFont="1" applyFill="1" applyBorder="1"/>
    <xf numFmtId="0" fontId="0" fillId="3" borderId="0" xfId="0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D8C7-95D5-4F3E-A867-193CC7126CBA}">
  <dimension ref="A1:E9"/>
  <sheetViews>
    <sheetView workbookViewId="0">
      <selection activeCell="C18" sqref="C18"/>
    </sheetView>
  </sheetViews>
  <sheetFormatPr baseColWidth="10" defaultRowHeight="15" x14ac:dyDescent="0.25"/>
  <cols>
    <col min="1" max="1" width="21.7109375" bestFit="1" customWidth="1"/>
    <col min="5" max="5" width="13.7109375" bestFit="1" customWidth="1"/>
  </cols>
  <sheetData>
    <row r="1" spans="1:5" x14ac:dyDescent="0.25">
      <c r="A1" t="s">
        <v>0</v>
      </c>
      <c r="B1" s="1">
        <v>760</v>
      </c>
      <c r="C1" s="1"/>
      <c r="D1" s="2">
        <v>45947</v>
      </c>
    </row>
    <row r="2" spans="1:5" x14ac:dyDescent="0.25">
      <c r="A2" t="s">
        <v>1</v>
      </c>
      <c r="B2" s="1">
        <v>40</v>
      </c>
      <c r="C2" s="1">
        <f>0.18*B2/1.18</f>
        <v>6.101694915254237</v>
      </c>
      <c r="D2" s="2">
        <v>45960</v>
      </c>
      <c r="E2" t="s">
        <v>2</v>
      </c>
    </row>
    <row r="3" spans="1:5" x14ac:dyDescent="0.25">
      <c r="A3" t="s">
        <v>3</v>
      </c>
      <c r="B3" s="1">
        <f>70-48</f>
        <v>22</v>
      </c>
      <c r="C3" s="1"/>
      <c r="D3" s="2">
        <v>45960</v>
      </c>
    </row>
    <row r="4" spans="1:5" x14ac:dyDescent="0.25">
      <c r="A4" t="s">
        <v>4</v>
      </c>
      <c r="B4" s="1">
        <v>130</v>
      </c>
      <c r="C4" s="1">
        <f t="shared" ref="C4:C9" si="0">0.18*B4/1.18</f>
        <v>19.83050847457627</v>
      </c>
      <c r="D4" s="2">
        <v>45959</v>
      </c>
      <c r="E4" t="s">
        <v>5</v>
      </c>
    </row>
    <row r="5" spans="1:5" x14ac:dyDescent="0.25">
      <c r="A5" t="s">
        <v>6</v>
      </c>
      <c r="B5" s="1">
        <v>935</v>
      </c>
      <c r="C5" s="1">
        <f t="shared" si="0"/>
        <v>142.62711864406779</v>
      </c>
      <c r="D5" s="2">
        <v>45959</v>
      </c>
      <c r="E5" t="s">
        <v>7</v>
      </c>
    </row>
    <row r="6" spans="1:5" x14ac:dyDescent="0.25">
      <c r="A6" t="s">
        <v>8</v>
      </c>
      <c r="B6" s="1">
        <v>9</v>
      </c>
      <c r="C6" s="1">
        <f t="shared" si="0"/>
        <v>1.3728813559322033</v>
      </c>
      <c r="D6" s="2">
        <v>45959</v>
      </c>
      <c r="E6" t="s">
        <v>9</v>
      </c>
    </row>
    <row r="7" spans="1:5" x14ac:dyDescent="0.25">
      <c r="A7" t="s">
        <v>10</v>
      </c>
      <c r="B7" s="1">
        <v>346.65</v>
      </c>
      <c r="C7" s="1">
        <f t="shared" si="0"/>
        <v>52.878813559322026</v>
      </c>
      <c r="D7" s="2">
        <v>45959</v>
      </c>
      <c r="E7" t="s">
        <v>11</v>
      </c>
    </row>
    <row r="8" spans="1:5" x14ac:dyDescent="0.25">
      <c r="A8" t="s">
        <v>12</v>
      </c>
      <c r="B8" s="1">
        <v>230</v>
      </c>
      <c r="C8" s="1">
        <f t="shared" si="0"/>
        <v>35.084745762711862</v>
      </c>
      <c r="D8" s="2">
        <v>45959</v>
      </c>
      <c r="E8" t="s">
        <v>13</v>
      </c>
    </row>
    <row r="9" spans="1:5" x14ac:dyDescent="0.25">
      <c r="A9" t="s">
        <v>14</v>
      </c>
      <c r="B9" s="1">
        <v>55</v>
      </c>
      <c r="C9" s="1">
        <f t="shared" si="0"/>
        <v>8.3898305084745779</v>
      </c>
      <c r="D9" s="2">
        <v>45959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BD70-374E-41B7-B088-703B5539B55A}">
  <dimension ref="A1:E50"/>
  <sheetViews>
    <sheetView topLeftCell="A40" workbookViewId="0">
      <selection activeCell="H8" sqref="H8"/>
    </sheetView>
  </sheetViews>
  <sheetFormatPr baseColWidth="10" defaultRowHeight="15" x14ac:dyDescent="0.25"/>
  <cols>
    <col min="2" max="2" width="11.85546875" style="3" bestFit="1" customWidth="1"/>
  </cols>
  <sheetData>
    <row r="1" spans="1:5" x14ac:dyDescent="0.25">
      <c r="A1" t="s">
        <v>15</v>
      </c>
      <c r="B1" s="3">
        <v>50</v>
      </c>
      <c r="C1" s="2">
        <v>45979</v>
      </c>
      <c r="D1" t="s">
        <v>16</v>
      </c>
      <c r="E1" t="s">
        <v>17</v>
      </c>
    </row>
    <row r="2" spans="1:5" x14ac:dyDescent="0.25">
      <c r="A2" t="s">
        <v>18</v>
      </c>
      <c r="B2" s="3">
        <v>20</v>
      </c>
      <c r="C2" s="2">
        <v>45979</v>
      </c>
      <c r="D2" t="s">
        <v>16</v>
      </c>
      <c r="E2" t="s">
        <v>17</v>
      </c>
    </row>
    <row r="3" spans="1:5" x14ac:dyDescent="0.25">
      <c r="A3" t="s">
        <v>19</v>
      </c>
      <c r="B3" s="3">
        <v>70</v>
      </c>
      <c r="C3" s="2">
        <v>45979</v>
      </c>
      <c r="D3" t="s">
        <v>16</v>
      </c>
      <c r="E3" t="s">
        <v>17</v>
      </c>
    </row>
    <row r="4" spans="1:5" x14ac:dyDescent="0.25">
      <c r="A4" t="s">
        <v>20</v>
      </c>
      <c r="B4" s="3">
        <v>85</v>
      </c>
      <c r="C4" s="2">
        <v>45979</v>
      </c>
      <c r="D4" t="s">
        <v>16</v>
      </c>
      <c r="E4" t="s">
        <v>17</v>
      </c>
    </row>
    <row r="5" spans="1:5" x14ac:dyDescent="0.25">
      <c r="A5" t="s">
        <v>21</v>
      </c>
      <c r="B5" s="3">
        <v>30</v>
      </c>
      <c r="C5" s="2">
        <v>45979</v>
      </c>
      <c r="D5" t="s">
        <v>16</v>
      </c>
      <c r="E5" t="s">
        <v>17</v>
      </c>
    </row>
    <row r="6" spans="1:5" x14ac:dyDescent="0.25">
      <c r="A6" t="s">
        <v>22</v>
      </c>
      <c r="B6" s="3">
        <v>84</v>
      </c>
      <c r="C6" s="2">
        <v>45979</v>
      </c>
      <c r="D6" t="s">
        <v>16</v>
      </c>
      <c r="E6" t="s">
        <v>17</v>
      </c>
    </row>
    <row r="7" spans="1:5" x14ac:dyDescent="0.25">
      <c r="A7" t="s">
        <v>23</v>
      </c>
      <c r="B7" s="3">
        <v>45</v>
      </c>
      <c r="C7" s="2">
        <v>45979</v>
      </c>
      <c r="D7" t="s">
        <v>16</v>
      </c>
      <c r="E7" t="s">
        <v>17</v>
      </c>
    </row>
    <row r="8" spans="1:5" x14ac:dyDescent="0.25">
      <c r="A8" t="s">
        <v>24</v>
      </c>
      <c r="B8" s="3">
        <v>20</v>
      </c>
      <c r="C8" s="2">
        <v>45979</v>
      </c>
      <c r="D8" t="s">
        <v>16</v>
      </c>
      <c r="E8" t="s">
        <v>17</v>
      </c>
    </row>
    <row r="9" spans="1:5" x14ac:dyDescent="0.25">
      <c r="A9" t="s">
        <v>25</v>
      </c>
      <c r="B9" s="3">
        <v>13</v>
      </c>
      <c r="C9" s="2">
        <v>45979</v>
      </c>
      <c r="D9" t="s">
        <v>26</v>
      </c>
      <c r="E9" t="s">
        <v>27</v>
      </c>
    </row>
    <row r="10" spans="1:5" x14ac:dyDescent="0.25">
      <c r="A10" t="s">
        <v>28</v>
      </c>
      <c r="B10" s="3">
        <v>30</v>
      </c>
      <c r="C10" s="2">
        <v>45979</v>
      </c>
      <c r="D10" t="s">
        <v>29</v>
      </c>
      <c r="E10" t="s">
        <v>27</v>
      </c>
    </row>
    <row r="11" spans="1:5" x14ac:dyDescent="0.25">
      <c r="A11" t="s">
        <v>30</v>
      </c>
      <c r="B11" s="3">
        <v>7</v>
      </c>
      <c r="C11" s="2">
        <v>45979</v>
      </c>
      <c r="D11" t="s">
        <v>29</v>
      </c>
      <c r="E11" t="s">
        <v>27</v>
      </c>
    </row>
    <row r="12" spans="1:5" x14ac:dyDescent="0.25">
      <c r="A12" t="s">
        <v>31</v>
      </c>
      <c r="B12" s="3">
        <v>32.5</v>
      </c>
      <c r="C12" s="2">
        <v>45979</v>
      </c>
      <c r="D12" t="s">
        <v>29</v>
      </c>
      <c r="E12" t="s">
        <v>27</v>
      </c>
    </row>
    <row r="13" spans="1:5" x14ac:dyDescent="0.25">
      <c r="A13" t="s">
        <v>32</v>
      </c>
      <c r="B13" s="3">
        <v>160</v>
      </c>
      <c r="C13" s="2">
        <v>45979</v>
      </c>
      <c r="D13" t="s">
        <v>29</v>
      </c>
      <c r="E13" t="s">
        <v>27</v>
      </c>
    </row>
    <row r="14" spans="1:5" x14ac:dyDescent="0.25">
      <c r="A14" t="s">
        <v>33</v>
      </c>
      <c r="B14" s="3">
        <v>12.5</v>
      </c>
      <c r="C14" s="2">
        <v>45979</v>
      </c>
      <c r="D14" t="s">
        <v>29</v>
      </c>
      <c r="E14" t="s">
        <v>27</v>
      </c>
    </row>
    <row r="15" spans="1:5" x14ac:dyDescent="0.25">
      <c r="A15" t="s">
        <v>34</v>
      </c>
      <c r="B15" s="3">
        <v>11</v>
      </c>
      <c r="C15" s="2">
        <v>45979</v>
      </c>
      <c r="D15" t="s">
        <v>29</v>
      </c>
      <c r="E15" t="s">
        <v>27</v>
      </c>
    </row>
    <row r="16" spans="1:5" x14ac:dyDescent="0.25">
      <c r="A16" t="s">
        <v>35</v>
      </c>
      <c r="B16" s="3">
        <v>130</v>
      </c>
      <c r="C16" s="2">
        <v>45979</v>
      </c>
      <c r="D16" t="s">
        <v>29</v>
      </c>
      <c r="E16" t="s">
        <v>27</v>
      </c>
    </row>
    <row r="17" spans="1:5" x14ac:dyDescent="0.25">
      <c r="A17" t="s">
        <v>36</v>
      </c>
      <c r="B17" s="3">
        <v>180</v>
      </c>
      <c r="C17" s="2">
        <v>45979</v>
      </c>
      <c r="D17" t="s">
        <v>37</v>
      </c>
      <c r="E17" t="s">
        <v>38</v>
      </c>
    </row>
    <row r="18" spans="1:5" x14ac:dyDescent="0.25">
      <c r="A18" t="s">
        <v>39</v>
      </c>
      <c r="B18" s="3">
        <v>132</v>
      </c>
      <c r="C18" s="2">
        <v>45979</v>
      </c>
      <c r="D18" t="s">
        <v>40</v>
      </c>
      <c r="E18" t="s">
        <v>41</v>
      </c>
    </row>
    <row r="19" spans="1:5" x14ac:dyDescent="0.25">
      <c r="A19" t="s">
        <v>42</v>
      </c>
      <c r="B19" s="3">
        <v>25.9954</v>
      </c>
      <c r="C19" s="2">
        <v>45980</v>
      </c>
      <c r="D19" t="s">
        <v>43</v>
      </c>
      <c r="E19" t="s">
        <v>44</v>
      </c>
    </row>
    <row r="20" spans="1:5" x14ac:dyDescent="0.25">
      <c r="A20" t="s">
        <v>45</v>
      </c>
      <c r="B20" s="3">
        <v>185.00039999999998</v>
      </c>
      <c r="C20" s="2">
        <v>45980</v>
      </c>
      <c r="D20" t="s">
        <v>43</v>
      </c>
      <c r="E20" t="s">
        <v>44</v>
      </c>
    </row>
    <row r="21" spans="1:5" x14ac:dyDescent="0.25">
      <c r="A21" t="s">
        <v>46</v>
      </c>
      <c r="B21" s="3">
        <v>302.39859999999999</v>
      </c>
      <c r="C21" s="2">
        <v>45980</v>
      </c>
      <c r="D21" t="s">
        <v>43</v>
      </c>
      <c r="E21" t="s">
        <v>44</v>
      </c>
    </row>
    <row r="22" spans="1:5" x14ac:dyDescent="0.25">
      <c r="A22" t="s">
        <v>47</v>
      </c>
      <c r="B22" s="3">
        <v>155.99599999999998</v>
      </c>
      <c r="C22" s="2">
        <v>45980</v>
      </c>
      <c r="D22" t="s">
        <v>43</v>
      </c>
      <c r="E22" t="s">
        <v>44</v>
      </c>
    </row>
    <row r="23" spans="1:5" x14ac:dyDescent="0.25">
      <c r="A23" t="s">
        <v>48</v>
      </c>
      <c r="B23" s="3">
        <v>87.001400000000004</v>
      </c>
      <c r="C23" s="2">
        <v>45980</v>
      </c>
      <c r="D23" t="s">
        <v>43</v>
      </c>
      <c r="E23" t="s">
        <v>44</v>
      </c>
    </row>
    <row r="24" spans="1:5" x14ac:dyDescent="0.25">
      <c r="A24" t="s">
        <v>49</v>
      </c>
      <c r="B24" s="3">
        <v>116.997</v>
      </c>
      <c r="C24" s="2">
        <v>45980</v>
      </c>
      <c r="D24" t="s">
        <v>43</v>
      </c>
      <c r="E24" t="s">
        <v>44</v>
      </c>
    </row>
    <row r="25" spans="1:5" x14ac:dyDescent="0.25">
      <c r="A25" t="s">
        <v>50</v>
      </c>
      <c r="B25" s="3">
        <v>24.296199999999999</v>
      </c>
      <c r="C25" s="2">
        <v>45980</v>
      </c>
      <c r="D25" t="s">
        <v>43</v>
      </c>
      <c r="E25" t="s">
        <v>44</v>
      </c>
    </row>
    <row r="26" spans="1:5" x14ac:dyDescent="0.25">
      <c r="A26" t="s">
        <v>51</v>
      </c>
      <c r="B26" s="3">
        <v>21.004000000000001</v>
      </c>
      <c r="C26" s="2">
        <v>45980</v>
      </c>
      <c r="D26" t="s">
        <v>43</v>
      </c>
      <c r="E26" t="s">
        <v>44</v>
      </c>
    </row>
    <row r="27" spans="1:5" x14ac:dyDescent="0.25">
      <c r="A27" t="s">
        <v>52</v>
      </c>
      <c r="B27" s="3">
        <v>25.794799999999999</v>
      </c>
      <c r="C27" s="2">
        <v>45980</v>
      </c>
      <c r="D27" t="s">
        <v>43</v>
      </c>
      <c r="E27" t="s">
        <v>44</v>
      </c>
    </row>
    <row r="28" spans="1:5" x14ac:dyDescent="0.25">
      <c r="A28" t="s">
        <v>53</v>
      </c>
      <c r="B28" s="3">
        <v>41.394399999999997</v>
      </c>
      <c r="C28" s="2">
        <v>45980</v>
      </c>
      <c r="D28" t="s">
        <v>43</v>
      </c>
      <c r="E28" t="s">
        <v>44</v>
      </c>
    </row>
    <row r="29" spans="1:5" x14ac:dyDescent="0.25">
      <c r="A29" t="s">
        <v>54</v>
      </c>
      <c r="B29" s="3">
        <v>82.505600000000001</v>
      </c>
      <c r="C29" s="2">
        <v>45980</v>
      </c>
      <c r="D29" t="s">
        <v>43</v>
      </c>
      <c r="E29" t="s">
        <v>44</v>
      </c>
    </row>
    <row r="30" spans="1:5" x14ac:dyDescent="0.25">
      <c r="A30" t="s">
        <v>55</v>
      </c>
      <c r="B30" s="3">
        <v>28.0014</v>
      </c>
      <c r="C30" s="2">
        <v>45980</v>
      </c>
      <c r="D30" t="s">
        <v>43</v>
      </c>
      <c r="E30" t="s">
        <v>44</v>
      </c>
    </row>
    <row r="31" spans="1:5" x14ac:dyDescent="0.25">
      <c r="A31" t="s">
        <v>56</v>
      </c>
      <c r="B31" s="3">
        <v>9.9946000000000002</v>
      </c>
      <c r="C31" s="2">
        <v>45980</v>
      </c>
      <c r="D31" t="s">
        <v>43</v>
      </c>
      <c r="E31" t="s">
        <v>44</v>
      </c>
    </row>
    <row r="32" spans="1:5" x14ac:dyDescent="0.25">
      <c r="A32" t="s">
        <v>57</v>
      </c>
      <c r="B32" s="3">
        <v>14.9978</v>
      </c>
      <c r="C32" s="2">
        <v>45980</v>
      </c>
      <c r="D32" t="s">
        <v>43</v>
      </c>
      <c r="E32" t="s">
        <v>44</v>
      </c>
    </row>
    <row r="33" spans="1:5" x14ac:dyDescent="0.25">
      <c r="A33" t="s">
        <v>58</v>
      </c>
      <c r="B33" s="3">
        <v>30.998599999999996</v>
      </c>
      <c r="C33" s="2">
        <v>45980</v>
      </c>
      <c r="D33" t="s">
        <v>43</v>
      </c>
      <c r="E33" t="s">
        <v>44</v>
      </c>
    </row>
    <row r="34" spans="1:5" x14ac:dyDescent="0.25">
      <c r="A34" t="s">
        <v>59</v>
      </c>
      <c r="B34" s="3">
        <v>24.001199999999997</v>
      </c>
      <c r="C34" s="2">
        <v>45980</v>
      </c>
      <c r="D34" t="s">
        <v>43</v>
      </c>
      <c r="E34" t="s">
        <v>44</v>
      </c>
    </row>
    <row r="35" spans="1:5" x14ac:dyDescent="0.25">
      <c r="A35" t="s">
        <v>60</v>
      </c>
      <c r="B35" s="3">
        <v>40.001999999999995</v>
      </c>
      <c r="C35" s="2">
        <v>45980</v>
      </c>
      <c r="D35" t="s">
        <v>43</v>
      </c>
      <c r="E35" t="s">
        <v>44</v>
      </c>
    </row>
    <row r="36" spans="1:5" x14ac:dyDescent="0.25">
      <c r="A36" t="s">
        <v>61</v>
      </c>
      <c r="B36" s="3">
        <v>30.396799999999999</v>
      </c>
      <c r="C36" s="2">
        <v>45980</v>
      </c>
      <c r="D36" t="s">
        <v>43</v>
      </c>
      <c r="E36" t="s">
        <v>44</v>
      </c>
    </row>
    <row r="37" spans="1:5" x14ac:dyDescent="0.25">
      <c r="A37" t="s">
        <v>62</v>
      </c>
      <c r="B37" s="3">
        <v>42.999199999999995</v>
      </c>
      <c r="C37" s="2">
        <v>45980</v>
      </c>
      <c r="D37" t="s">
        <v>43</v>
      </c>
      <c r="E37" t="s">
        <v>44</v>
      </c>
    </row>
    <row r="38" spans="1:5" x14ac:dyDescent="0.25">
      <c r="A38" t="s">
        <v>63</v>
      </c>
      <c r="B38" s="3">
        <v>179.99719999999999</v>
      </c>
      <c r="C38" s="2">
        <v>45980</v>
      </c>
      <c r="D38" t="s">
        <v>43</v>
      </c>
      <c r="E38" t="s">
        <v>44</v>
      </c>
    </row>
    <row r="39" spans="1:5" x14ac:dyDescent="0.25">
      <c r="A39" t="s">
        <v>64</v>
      </c>
      <c r="B39" s="3">
        <v>61.194799999999994</v>
      </c>
      <c r="C39" s="2">
        <v>45980</v>
      </c>
      <c r="D39" t="s">
        <v>43</v>
      </c>
      <c r="E39" t="s">
        <v>44</v>
      </c>
    </row>
    <row r="40" spans="1:5" x14ac:dyDescent="0.25">
      <c r="A40" t="s">
        <v>65</v>
      </c>
      <c r="B40" s="3">
        <v>441.00139999999999</v>
      </c>
      <c r="C40" s="2">
        <v>45980</v>
      </c>
      <c r="D40" t="s">
        <v>43</v>
      </c>
      <c r="E40" t="s">
        <v>44</v>
      </c>
    </row>
    <row r="41" spans="1:5" x14ac:dyDescent="0.25">
      <c r="A41" t="s">
        <v>66</v>
      </c>
      <c r="B41" s="3">
        <v>847.00399999999991</v>
      </c>
      <c r="C41" s="2">
        <v>45980</v>
      </c>
      <c r="D41" t="s">
        <v>43</v>
      </c>
      <c r="E41" t="s">
        <v>44</v>
      </c>
    </row>
    <row r="42" spans="1:5" x14ac:dyDescent="0.25">
      <c r="A42" t="s">
        <v>67</v>
      </c>
      <c r="B42" s="3">
        <v>73.596599999999995</v>
      </c>
      <c r="C42" s="2">
        <v>45980</v>
      </c>
      <c r="D42" t="s">
        <v>43</v>
      </c>
      <c r="E42" t="s">
        <v>44</v>
      </c>
    </row>
    <row r="43" spans="1:5" x14ac:dyDescent="0.25">
      <c r="A43" t="s">
        <v>68</v>
      </c>
      <c r="B43" s="3">
        <v>252.0008</v>
      </c>
      <c r="C43" s="2">
        <v>45980</v>
      </c>
      <c r="D43" t="s">
        <v>43</v>
      </c>
      <c r="E43" t="s">
        <v>44</v>
      </c>
    </row>
    <row r="44" spans="1:5" x14ac:dyDescent="0.25">
      <c r="A44" t="s">
        <v>69</v>
      </c>
      <c r="B44" s="3">
        <v>50</v>
      </c>
      <c r="C44" s="2">
        <v>45980</v>
      </c>
      <c r="D44" t="s">
        <v>70</v>
      </c>
      <c r="E44" t="s">
        <v>27</v>
      </c>
    </row>
    <row r="45" spans="1:5" x14ac:dyDescent="0.25">
      <c r="A45" t="s">
        <v>71</v>
      </c>
      <c r="B45" s="3">
        <v>8</v>
      </c>
      <c r="C45" s="2">
        <v>45979</v>
      </c>
      <c r="D45" t="s">
        <v>72</v>
      </c>
      <c r="E45" t="s">
        <v>73</v>
      </c>
    </row>
    <row r="46" spans="1:5" x14ac:dyDescent="0.25">
      <c r="A46" t="s">
        <v>74</v>
      </c>
      <c r="B46" s="3">
        <v>132</v>
      </c>
      <c r="C46" s="2">
        <v>45979</v>
      </c>
      <c r="E46" t="s">
        <v>41</v>
      </c>
    </row>
    <row r="47" spans="1:5" x14ac:dyDescent="0.25">
      <c r="A47" t="s">
        <v>75</v>
      </c>
      <c r="B47" s="3">
        <v>102</v>
      </c>
      <c r="C47" s="2">
        <v>45981</v>
      </c>
      <c r="D47" t="s">
        <v>76</v>
      </c>
      <c r="E47" t="s">
        <v>44</v>
      </c>
    </row>
    <row r="48" spans="1:5" x14ac:dyDescent="0.25">
      <c r="A48" t="s">
        <v>77</v>
      </c>
      <c r="B48" s="3">
        <v>12</v>
      </c>
      <c r="C48" s="2">
        <v>45981</v>
      </c>
      <c r="D48" t="s">
        <v>78</v>
      </c>
      <c r="E48" t="s">
        <v>79</v>
      </c>
    </row>
    <row r="49" spans="1:3" x14ac:dyDescent="0.25">
      <c r="A49" t="s">
        <v>80</v>
      </c>
      <c r="B49" s="3">
        <v>100</v>
      </c>
      <c r="C49" s="4">
        <v>45980</v>
      </c>
    </row>
    <row r="50" spans="1:3" x14ac:dyDescent="0.25">
      <c r="B50" s="3">
        <v>4660.5702000000001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6F9B-7CE8-421E-A0E2-73EE71BE1DEC}">
  <dimension ref="A1:C18"/>
  <sheetViews>
    <sheetView tabSelected="1" workbookViewId="0">
      <selection activeCell="D6" sqref="D6"/>
    </sheetView>
  </sheetViews>
  <sheetFormatPr baseColWidth="10" defaultRowHeight="15" x14ac:dyDescent="0.25"/>
  <cols>
    <col min="1" max="1" width="31.7109375" bestFit="1" customWidth="1"/>
    <col min="3" max="3" width="11.42578125" style="3"/>
  </cols>
  <sheetData>
    <row r="1" spans="1:3" x14ac:dyDescent="0.25">
      <c r="A1" s="7" t="s">
        <v>81</v>
      </c>
      <c r="B1" s="5"/>
      <c r="C1" s="6"/>
    </row>
    <row r="2" spans="1:3" s="12" customFormat="1" x14ac:dyDescent="0.25">
      <c r="A2" s="10" t="s">
        <v>82</v>
      </c>
      <c r="B2" s="10">
        <v>938436677</v>
      </c>
      <c r="C2" s="11">
        <v>24</v>
      </c>
    </row>
    <row r="3" spans="1:3" s="12" customFormat="1" x14ac:dyDescent="0.25">
      <c r="A3" s="10" t="s">
        <v>83</v>
      </c>
      <c r="B3" s="10">
        <v>972789352</v>
      </c>
      <c r="C3" s="11">
        <v>16</v>
      </c>
    </row>
    <row r="4" spans="1:3" s="12" customFormat="1" x14ac:dyDescent="0.25">
      <c r="A4" s="10" t="s">
        <v>84</v>
      </c>
      <c r="B4" s="10">
        <v>925258833</v>
      </c>
      <c r="C4" s="11">
        <v>25</v>
      </c>
    </row>
    <row r="5" spans="1:3" s="15" customFormat="1" x14ac:dyDescent="0.25">
      <c r="A5" s="13" t="s">
        <v>85</v>
      </c>
      <c r="B5" s="13">
        <v>926343319</v>
      </c>
      <c r="C5" s="14">
        <v>20</v>
      </c>
    </row>
    <row r="6" spans="1:3" s="12" customFormat="1" x14ac:dyDescent="0.25">
      <c r="A6" s="10" t="s">
        <v>86</v>
      </c>
      <c r="B6" s="10">
        <v>976293368</v>
      </c>
      <c r="C6" s="11">
        <v>20</v>
      </c>
    </row>
    <row r="7" spans="1:3" s="15" customFormat="1" x14ac:dyDescent="0.25">
      <c r="A7" s="13" t="s">
        <v>87</v>
      </c>
      <c r="B7" s="13">
        <v>920081561</v>
      </c>
      <c r="C7" s="14">
        <v>24</v>
      </c>
    </row>
    <row r="8" spans="1:3" s="15" customFormat="1" x14ac:dyDescent="0.25">
      <c r="A8" s="13" t="s">
        <v>88</v>
      </c>
      <c r="B8" s="13">
        <v>951430635</v>
      </c>
      <c r="C8" s="14">
        <v>20</v>
      </c>
    </row>
    <row r="9" spans="1:3" x14ac:dyDescent="0.25">
      <c r="A9" s="5"/>
      <c r="B9" s="5"/>
      <c r="C9" s="6"/>
    </row>
    <row r="10" spans="1:3" x14ac:dyDescent="0.25">
      <c r="A10" s="7" t="s">
        <v>89</v>
      </c>
      <c r="B10" s="5"/>
      <c r="C10" s="6"/>
    </row>
    <row r="11" spans="1:3" s="12" customFormat="1" x14ac:dyDescent="0.25">
      <c r="A11" s="10" t="s">
        <v>90</v>
      </c>
      <c r="B11" s="10">
        <v>933736734</v>
      </c>
      <c r="C11" s="11">
        <v>23</v>
      </c>
    </row>
    <row r="12" spans="1:3" s="12" customFormat="1" x14ac:dyDescent="0.25">
      <c r="A12" s="10" t="s">
        <v>91</v>
      </c>
      <c r="B12" s="10">
        <v>912577220</v>
      </c>
      <c r="C12" s="11">
        <v>25</v>
      </c>
    </row>
    <row r="13" spans="1:3" s="12" customFormat="1" x14ac:dyDescent="0.25">
      <c r="A13" s="10" t="s">
        <v>92</v>
      </c>
      <c r="B13" s="10">
        <v>914699525</v>
      </c>
      <c r="C13" s="11">
        <v>15</v>
      </c>
    </row>
    <row r="14" spans="1:3" s="12" customFormat="1" x14ac:dyDescent="0.25">
      <c r="A14" s="10" t="s">
        <v>93</v>
      </c>
      <c r="B14" s="10">
        <v>953374284</v>
      </c>
      <c r="C14" s="11">
        <v>10</v>
      </c>
    </row>
    <row r="15" spans="1:3" s="12" customFormat="1" x14ac:dyDescent="0.25">
      <c r="A15" s="10" t="s">
        <v>94</v>
      </c>
      <c r="B15" s="10">
        <v>948718983</v>
      </c>
      <c r="C15" s="11">
        <v>25</v>
      </c>
    </row>
    <row r="16" spans="1:3" s="12" customFormat="1" x14ac:dyDescent="0.25">
      <c r="A16" s="10" t="s">
        <v>95</v>
      </c>
      <c r="B16" s="10">
        <v>916809941</v>
      </c>
      <c r="C16" s="11">
        <v>25</v>
      </c>
    </row>
    <row r="17" spans="1:3" x14ac:dyDescent="0.25">
      <c r="A17" s="5"/>
      <c r="B17" s="5"/>
      <c r="C17" s="6"/>
    </row>
    <row r="18" spans="1:3" x14ac:dyDescent="0.25">
      <c r="A18" s="9" t="s">
        <v>96</v>
      </c>
      <c r="B18" s="9"/>
      <c r="C18" s="8">
        <f>+SUM(C2:C16)</f>
        <v>272</v>
      </c>
    </row>
  </sheetData>
  <mergeCells count="1">
    <mergeCell ref="A18:B1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band-porc</vt:lpstr>
      <vt:lpstr>drywall 1</vt:lpstr>
      <vt:lpstr>drywall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 ROJAS</dc:creator>
  <cp:lastModifiedBy>Luis Armando Rojas Hernandez</cp:lastModifiedBy>
  <dcterms:created xsi:type="dcterms:W3CDTF">2025-12-06T01:59:55Z</dcterms:created>
  <dcterms:modified xsi:type="dcterms:W3CDTF">2026-05-19T11:24:42Z</dcterms:modified>
</cp:coreProperties>
</file>